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D8C87A4-053F-43F9-9B03-BC1CBAD5B2AF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结算单" sheetId="1" r:id="rId1"/>
    <sheet name="填表说明" sheetId="2" r:id="rId2"/>
  </sheets>
  <definedNames>
    <definedName name="_xlnm.Print_Area" localSheetId="0">结算单!$A$1:$J$30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H16" i="1"/>
  <c r="G16" i="1"/>
  <c r="I11" i="1"/>
  <c r="H11" i="1"/>
  <c r="G11" i="1"/>
  <c r="G18" i="1" s="1"/>
  <c r="H18" i="1" l="1"/>
  <c r="G19" i="1" s="1"/>
  <c r="I18" i="1"/>
</calcChain>
</file>

<file path=xl/sharedStrings.xml><?xml version="1.0" encoding="utf-8"?>
<sst xmlns="http://schemas.openxmlformats.org/spreadsheetml/2006/main" count="127" uniqueCount="110">
  <si>
    <t>德清威德L4级智能化水厂技改项目履约交付结算单</t>
  </si>
  <si>
    <t>合同名称/编号：德清威德L4级智能化水厂技改项目合同</t>
  </si>
  <si>
    <t>甲方（发包方）：德清县威德水质净化有限公司</t>
  </si>
  <si>
    <t>乙方（承包方）：昕彤赋能（长沙）人工智能行业应用系统有限公司</t>
  </si>
  <si>
    <t>结算期次：第　1　期</t>
  </si>
  <si>
    <t>结算事项：到货及施工进度款</t>
  </si>
  <si>
    <t>编制单位：昕彤赋能（长沙）人工智能行业应用系统有限公司</t>
  </si>
  <si>
    <t>编制日期：　　　　年　　月　　日</t>
  </si>
  <si>
    <t>序号</t>
  </si>
  <si>
    <t>履约内容</t>
  </si>
  <si>
    <t>交付清单</t>
  </si>
  <si>
    <t>单位</t>
  </si>
  <si>
    <t>数量</t>
  </si>
  <si>
    <t>本期完工进度%</t>
  </si>
  <si>
    <t>截至上期结算金额（元）</t>
  </si>
  <si>
    <t>本次结算金额（元）</t>
  </si>
  <si>
    <t>剩余结算金额（元）</t>
  </si>
  <si>
    <t>备注</t>
  </si>
  <si>
    <t>一、系统软件与硬件设备类</t>
  </si>
  <si>
    <t>软件系统及模型适配</t>
  </si>
  <si>
    <r>
      <rPr>
        <sz val="10"/>
        <rFont val="仿宋"/>
        <family val="3"/>
        <charset val="134"/>
      </rPr>
      <t>工艺智控操作系统（Veridix模型适配、剑企</t>
    </r>
    <r>
      <rPr>
        <sz val="10"/>
        <rFont val="宋体"/>
        <family val="3"/>
        <charset val="134"/>
      </rPr>
      <t>®</t>
    </r>
    <r>
      <rPr>
        <sz val="10"/>
        <rFont val="仿宋"/>
        <family val="3"/>
        <charset val="134"/>
      </rPr>
      <t>工艺单元智能体配置、策略建议/监督闭环）、生产智管操作系统（报表、巡检、工单、设备台账、知识问答）；功能清单、部署记录、模型版本记录</t>
    </r>
  </si>
  <si>
    <t>套</t>
  </si>
  <si>
    <t>税率6%</t>
  </si>
  <si>
    <t>数据接入与边缘控制</t>
  </si>
  <si>
    <t>生产数据接入、数据点表、接口清单、边缘设备、权限边界；数据点表确认单、联调报告</t>
  </si>
  <si>
    <t>空间配套与系统集成服务</t>
  </si>
  <si>
    <t>规划设计改造咨询以及施工图、工程量确认单、隐蔽工程记录、竣工照片；到货单、序列号、安装记录、通电及网络测试</t>
  </si>
  <si>
    <t>批</t>
  </si>
  <si>
    <t>金额小计1（系统软件与硬件设备）</t>
  </si>
  <si>
    <t>—</t>
  </si>
  <si>
    <t>二、工程实施与服务类</t>
  </si>
  <si>
    <t>空间配套工程和智能硬件</t>
  </si>
  <si>
    <t>一楼新展厅、新中控室、走廊导视、强弱电、照明及基础装饰；LED大屏、音视频、摄像、门禁、人脸/声纹、网络机柜、机器人及必要边缘设备；</t>
  </si>
  <si>
    <t>项</t>
  </si>
  <si>
    <t>实施、培训与项目管理</t>
  </si>
  <si>
    <t>项目管理、深化设计、现场实施、联调、试运行、培训；项目计划、会议纪要、问题闭环表、试运行报告</t>
  </si>
  <si>
    <t>质保及运维服务</t>
  </si>
  <si>
    <t>质保期自终验合格之日起12个月；系统巡检、培训答疑、运行问题响应；服务期说明、巡检记录、服务报告</t>
  </si>
  <si>
    <t>税率6%；随终验及质保期满结算</t>
  </si>
  <si>
    <t>金额小计2（工程实施与服务）</t>
  </si>
  <si>
    <t>税金</t>
  </si>
  <si>
    <t>税率以《分项报价及设备清单》（合同附件一）为准；合同价款按价税合计口径时本行填0</t>
  </si>
  <si>
    <t>具体开票税率，以各项交付内容备注栏标注的税率为准</t>
  </si>
  <si>
    <t>总计（价税合计）</t>
  </si>
  <si>
    <t>本次结算金额（大写）：</t>
  </si>
  <si>
    <t>贰佰万元整</t>
  </si>
  <si>
    <t>结算说明：</t>
  </si>
  <si>
    <t>2. “合同价格”列以双方确认的《分项报价及设备清单》（合同附件一）为准；“本期完工进度”依据到货验收单、序列号清单、现场照片及工程进度确认单评定。</t>
  </si>
  <si>
    <t>3. 按合同第七条第2款，付款申请、发票、验收文件、合同节点与银行回单应保持一致；本次结算应同步开具等额发票并留存付款凭证。</t>
  </si>
  <si>
    <t>4. 本合同属同一实际控制人下关联交易，本结算单及附件（到货单、序列号清单、照片、工程进度确认单、发票、银行回单）一并纳入关联交易审计留痕归档（合同第三条、第十一条）。</t>
  </si>
  <si>
    <t>甲方（确认方）：德清县威德水质净化有限公司</t>
  </si>
  <si>
    <t>乙方（编制方）：昕彤赋能（长沙）人工智能行业应用系统有限公司</t>
  </si>
  <si>
    <t>确认人（签字）：</t>
  </si>
  <si>
    <t>编制人（签字）：　　　　　　　　　　审核人（签字）：</t>
  </si>
  <si>
    <t>日期：　　　　年　　月　　日</t>
  </si>
  <si>
    <t>（单位盖章）</t>
  </si>
  <si>
    <t>填表说明（德清威德L4级智能化水厂技改项目·到货及施工进度款结算）</t>
  </si>
  <si>
    <t>一、填写规则</t>
  </si>
  <si>
    <t>黄色底纹单元格为需人工填写项；无底纹单元格为公式自动计算项，请勿直接修改。</t>
  </si>
  <si>
    <t>各分项“合同价格”取自合同附件一《分项报价及设备清单》；“本期完工进度”依据现场到货、部署及施工进度资料评定。</t>
  </si>
  <si>
    <t>J列已预填示例分摊（智能硬件与系统集成120万＋空间配套工程80万＝200万），请务必按实际情况调整后使用。</t>
  </si>
  <si>
    <t>二、填写步骤</t>
  </si>
  <si>
    <t>第1步：按附件一填写F列各分项合同价格（第18行总计自动校验，应为¥15,000,000.00）。</t>
  </si>
  <si>
    <t>第2步：按实际填写G列本期完工进度%（设备类依据到货/部署记录，工程类依据工程进度确认单）。</t>
  </si>
  <si>
    <t>第3步：填写I列截至上期结算金额：首期结算各分项填0；此前已有结算的，按上期结算单累计数填列。</t>
  </si>
  <si>
    <t>第4步：将本期到账¥2,000,000.00按各分项实际结算情况填入J列（第19行小写金额、第20行到账一致性校验自动更新；大写金额为固定文本，若J列合计变动请同步手工更新）。</t>
  </si>
  <si>
    <t>第5步：核对第20行校验提示，确认无误后打印，双方签字盖章。</t>
  </si>
  <si>
    <t>第6步：本结算单与到货单、序列号清单、照片、工程进度确认单、发票、银行回单一并归档。</t>
  </si>
  <si>
    <t>三、合同付款节点对照（合同第七条）</t>
  </si>
  <si>
    <t>节点</t>
  </si>
  <si>
    <t>比例</t>
  </si>
  <si>
    <t>节点金额（元）</t>
  </si>
  <si>
    <t>付款条件</t>
  </si>
  <si>
    <t>付款前资料</t>
  </si>
  <si>
    <t>到账情况（按银行回单更新）</t>
  </si>
  <si>
    <t>预付款</t>
  </si>
  <si>
    <t>20%</t>
  </si>
  <si>
    <t>合同生效、关联交易审批及公允定价资料归档、项目启动会完成</t>
  </si>
  <si>
    <t>合同、审批文件、付款申请、发票或收据安排</t>
  </si>
  <si>
    <t>请按实际到账更新</t>
  </si>
  <si>
    <t>深化确认款</t>
  </si>
  <si>
    <t>深化方案、设备清单、软件功能清单、预算拆分经甲方确认</t>
  </si>
  <si>
    <t>深化方案确认单、报价清单、会议纪要</t>
  </si>
  <si>
    <t>到货及施工进度款</t>
  </si>
  <si>
    <t>25%</t>
  </si>
  <si>
    <t>主要设备到货、空间配套及强弱电达到约定进度</t>
  </si>
  <si>
    <t>到货单、序列号、照片、工程进度确认</t>
  </si>
  <si>
    <t>★本期：已收¥2,000,000.00，节点剩余¥1,750,000.00</t>
  </si>
  <si>
    <t>联调初验款</t>
  </si>
  <si>
    <t>软件部署、硬件安装、参观模式和中控联调初验通过</t>
  </si>
  <si>
    <t>初验报告、联调报告、问题整改表</t>
  </si>
  <si>
    <t>未到付款节点</t>
  </si>
  <si>
    <t>终验款</t>
  </si>
  <si>
    <t>10%</t>
  </si>
  <si>
    <t>终验通过、资料归档、发票齐全</t>
  </si>
  <si>
    <t>终验报告、竣工资料（含第三方《工程结算审核报告》）、培训记录</t>
  </si>
  <si>
    <t>质保金</t>
  </si>
  <si>
    <t>5%</t>
  </si>
  <si>
    <t>质保期届满且无重大遗留问题</t>
  </si>
  <si>
    <t>质保期满确认单、运维服务记录</t>
  </si>
  <si>
    <t>四、归档与合规提示</t>
  </si>
  <si>
    <t>四单一致：付款申请、发票、验收文件、合同节点、银行回单应保持一致（合同第七条第2款）。</t>
  </si>
  <si>
    <t>关联交易留痕：本合同为同一实际控制人下关联交易，全套结算与付款资料须支持审计、税务及IPO尽调穿透核查（合同第三条、第十一条）。</t>
  </si>
  <si>
    <t>终验款（¥1,500,000.00）付款前须取得第三方机构出具的《工程结算审核报告》（合同第七条）。</t>
  </si>
  <si>
    <t>质保金（¥750,000.00）于质保期（终验合格之日起12个月）届满且无重大遗留问题后支付（合同第七条、第十三条）。</t>
  </si>
  <si>
    <t>逾期付款：甲方逾期付款超15个工作日，乙方可书面催告；超30个工作日仍未支付，乙方有权暂停相应阶段新增工作（合同第七条第4款）。</t>
  </si>
  <si>
    <r>
      <t>1. 本期结算对应合同的总进度为25%；实际项目交付完成为13%，故甲方本期实际付款</t>
    </r>
    <r>
      <rPr>
        <sz val="9"/>
        <rFont val="宋体"/>
        <family val="3"/>
        <charset val="134"/>
      </rPr>
      <t>¥</t>
    </r>
    <r>
      <rPr>
        <sz val="9"/>
        <rFont val="仿宋"/>
        <family val="3"/>
        <charset val="134"/>
      </rPr>
      <t>2,000,000.00，为该节点部分结算，节点剩余应付</t>
    </r>
    <r>
      <rPr>
        <sz val="9"/>
        <rFont val="宋体"/>
        <family val="3"/>
        <charset val="134"/>
      </rPr>
      <t>¥</t>
    </r>
    <r>
      <rPr>
        <sz val="9"/>
        <rFont val="仿宋"/>
        <family val="3"/>
        <charset val="134"/>
      </rPr>
      <t>1,750,000.00。</t>
    </r>
    <phoneticPr fontId="16" type="noConversion"/>
  </si>
  <si>
    <t>税率6%</t>
    <phoneticPr fontId="16" type="noConversion"/>
  </si>
  <si>
    <t xml:space="preserve"> 税率13%</t>
    <phoneticPr fontId="16" type="noConversion"/>
  </si>
  <si>
    <t>项目名称：德清威德L4级智能化水厂技改项目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</si>
</sst>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%;\(0.0%\);\-"/>
    <numFmt numFmtId="177" formatCode="#,##0.00;\(#,##0.00\);\-"/>
  </numFmts>
  <fonts count="17">
    <font>
      <sz val="11"/>
      <color theme="1"/>
      <name val="Noto Sans SC"/>
      <charset val="134"/>
    </font>
    <font>
      <b/>
      <sz val="13"/>
      <name val="黑体"/>
      <family val="3"/>
      <charset val="134"/>
    </font>
    <font>
      <b/>
      <sz val="10.5"/>
      <name val="宋体"/>
      <family val="3"/>
      <charset val="134"/>
    </font>
    <font>
      <sz val="9.5"/>
      <name val="宋体"/>
      <family val="3"/>
      <charset val="134"/>
    </font>
    <font>
      <b/>
      <sz val="9.5"/>
      <name val="宋体"/>
      <family val="3"/>
      <charset val="134"/>
    </font>
    <font>
      <b/>
      <sz val="16"/>
      <name val="黑体"/>
      <family val="3"/>
      <charset val="134"/>
    </font>
    <font>
      <sz val="10.5"/>
      <name val="仿宋"/>
      <family val="3"/>
      <charset val="134"/>
    </font>
    <font>
      <b/>
      <sz val="10"/>
      <name val="仿宋"/>
      <family val="3"/>
      <charset val="134"/>
    </font>
    <font>
      <sz val="10"/>
      <name val="仿宋"/>
      <family val="3"/>
      <charset val="134"/>
    </font>
    <font>
      <sz val="8"/>
      <name val="仿宋"/>
      <family val="3"/>
      <charset val="134"/>
    </font>
    <font>
      <b/>
      <sz val="12"/>
      <name val="仿宋"/>
      <family val="3"/>
      <charset val="134"/>
    </font>
    <font>
      <sz val="11"/>
      <color theme="1"/>
      <name val="仿宋"/>
      <family val="3"/>
      <charset val="134"/>
    </font>
    <font>
      <b/>
      <sz val="9.5"/>
      <name val="仿宋"/>
      <family val="3"/>
      <charset val="134"/>
    </font>
    <font>
      <sz val="9"/>
      <name val="仿宋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Noto Sans SC"/>
      <charset val="134"/>
    </font>
  </fonts>
  <fills count="7">
    <fill>
      <patternFill patternType="none"/>
    </fill>
    <fill>
      <patternFill patternType="gray125"/>
    </fill>
    <fill>
      <patternFill patternType="solid">
        <fgColor rgb="FFEFE8D5"/>
        <bgColor rgb="FFFCE8C8"/>
      </patternFill>
    </fill>
    <fill>
      <patternFill patternType="solid">
        <fgColor rgb="FFF7F9FC"/>
        <bgColor rgb="FFF5F1E6"/>
      </patternFill>
    </fill>
    <fill>
      <patternFill patternType="solid">
        <fgColor rgb="FFFCE8C8"/>
        <bgColor rgb="FFFFF2CC"/>
      </patternFill>
    </fill>
    <fill>
      <patternFill patternType="solid">
        <fgColor rgb="FFF5F1E6"/>
        <bgColor rgb="FFEFE8D5"/>
      </patternFill>
    </fill>
    <fill>
      <patternFill patternType="solid">
        <fgColor rgb="FFFFF2CC"/>
        <bgColor rgb="FFFCE8C8"/>
      </patternFill>
    </fill>
  </fills>
  <borders count="9">
    <border>
      <left/>
      <right/>
      <top/>
      <bottom/>
      <diagonal/>
    </border>
    <border>
      <left style="thin">
        <color rgb="FFB7BCC7"/>
      </left>
      <right style="thin">
        <color rgb="FFB7BCC7"/>
      </right>
      <top style="thin">
        <color rgb="FFB7BCC7"/>
      </top>
      <bottom style="thin">
        <color rgb="FFB7BCC7"/>
      </bottom>
      <diagonal/>
    </border>
    <border>
      <left style="medium">
        <color rgb="FF7F8797"/>
      </left>
      <right style="thin">
        <color rgb="FFB7BCC7"/>
      </right>
      <top style="medium">
        <color rgb="FF7F8797"/>
      </top>
      <bottom style="thin">
        <color rgb="FFB7BCC7"/>
      </bottom>
      <diagonal/>
    </border>
    <border>
      <left style="thin">
        <color rgb="FFB7BCC7"/>
      </left>
      <right style="medium">
        <color rgb="FF7F8797"/>
      </right>
      <top style="medium">
        <color rgb="FF7F8797"/>
      </top>
      <bottom style="thin">
        <color rgb="FFB7BCC7"/>
      </bottom>
      <diagonal/>
    </border>
    <border>
      <left style="medium">
        <color rgb="FF7F8797"/>
      </left>
      <right style="thin">
        <color rgb="FFB7BCC7"/>
      </right>
      <top style="thin">
        <color rgb="FFB7BCC7"/>
      </top>
      <bottom style="thin">
        <color rgb="FFB7BCC7"/>
      </bottom>
      <diagonal/>
    </border>
    <border>
      <left style="thin">
        <color rgb="FFB7BCC7"/>
      </left>
      <right style="medium">
        <color rgb="FF7F8797"/>
      </right>
      <top style="thin">
        <color rgb="FFB7BCC7"/>
      </top>
      <bottom style="thin">
        <color rgb="FFB7BCC7"/>
      </bottom>
      <diagonal/>
    </border>
    <border>
      <left style="medium">
        <color rgb="FF7F8797"/>
      </left>
      <right style="medium">
        <color rgb="FF7F8797"/>
      </right>
      <top style="thin">
        <color rgb="FFB7BCC7"/>
      </top>
      <bottom style="thin">
        <color rgb="FFB7BCC7"/>
      </bottom>
      <diagonal/>
    </border>
    <border>
      <left style="medium">
        <color rgb="FF7F8797"/>
      </left>
      <right style="medium">
        <color rgb="FF7F8797"/>
      </right>
      <top style="medium">
        <color rgb="FF7F8797"/>
      </top>
      <bottom style="thin">
        <color rgb="FFB7BCC7"/>
      </bottom>
      <diagonal/>
    </border>
    <border>
      <left style="medium">
        <color rgb="FF7F8797"/>
      </left>
      <right style="medium">
        <color rgb="FF7F8797"/>
      </right>
      <top style="thin">
        <color rgb="FFB7BCC7"/>
      </top>
      <bottom style="medium">
        <color rgb="FF7F8797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76" fontId="8" fillId="6" borderId="1" xfId="0" applyNumberFormat="1" applyFont="1" applyFill="1" applyBorder="1" applyAlignment="1">
      <alignment horizontal="center" vertical="center" wrapText="1"/>
    </xf>
    <xf numFmtId="177" fontId="8" fillId="6" borderId="1" xfId="0" applyNumberFormat="1" applyFont="1" applyFill="1" applyBorder="1" applyAlignment="1">
      <alignment horizontal="right" vertical="center" wrapText="1"/>
    </xf>
    <xf numFmtId="177" fontId="8" fillId="0" borderId="1" xfId="0" applyNumberFormat="1" applyFont="1" applyBorder="1" applyAlignment="1">
      <alignment horizontal="right" vertical="center" wrapText="1"/>
    </xf>
    <xf numFmtId="9" fontId="8" fillId="0" borderId="5" xfId="0" applyNumberFormat="1" applyFont="1" applyBorder="1" applyAlignment="1">
      <alignment horizontal="left" vertical="center" wrapText="1"/>
    </xf>
    <xf numFmtId="176" fontId="7" fillId="5" borderId="1" xfId="0" applyNumberFormat="1" applyFont="1" applyFill="1" applyBorder="1" applyAlignment="1">
      <alignment horizontal="right" vertical="center" wrapText="1"/>
    </xf>
    <xf numFmtId="177" fontId="7" fillId="5" borderId="1" xfId="0" applyNumberFormat="1" applyFont="1" applyFill="1" applyBorder="1" applyAlignment="1">
      <alignment horizontal="righ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176" fontId="8" fillId="6" borderId="1" xfId="0" applyNumberFormat="1" applyFont="1" applyFill="1" applyBorder="1" applyAlignment="1">
      <alignment horizontal="right" vertical="center" wrapText="1"/>
    </xf>
    <xf numFmtId="176" fontId="8" fillId="0" borderId="1" xfId="0" applyNumberFormat="1" applyFont="1" applyBorder="1" applyAlignment="1">
      <alignment horizontal="right" vertical="center" wrapText="1"/>
    </xf>
    <xf numFmtId="9" fontId="9" fillId="0" borderId="5" xfId="0" applyNumberFormat="1" applyFont="1" applyBorder="1" applyAlignment="1">
      <alignment horizontal="left" vertical="center" wrapText="1"/>
    </xf>
    <xf numFmtId="0" fontId="11" fillId="0" borderId="0" xfId="0" applyFont="1"/>
    <xf numFmtId="0" fontId="5" fillId="0" borderId="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CC7"/>
      <rgbColor rgb="007F8797"/>
      <rgbColor rgb="009999FF"/>
      <rgbColor rgb="00993366"/>
      <rgbColor rgb="00FFF2CC"/>
      <rgbColor rgb="00F5F1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FE8D5"/>
      <rgbColor rgb="00FCE8C8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100000</xdr:colOff>
      <xdr:row>0</xdr:row>
      <xdr:rowOff>100000</xdr:rowOff>
    </xdr:from>
    <xdr:to>
      <xdr:col>2</xdr:col>
      <xdr:colOff>966450</xdr:colOff>
      <xdr:row>1</xdr:row>
      <xdr:rowOff>226150</xdr:rowOff>
    </xdr:to>
    <xdr:sp macro="" textlink="">
      <xdr:nvSpPr>
        <xdr:cNvPr id="2" name="AILabe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9695" y="99695"/>
          <a:ext cx="2599690" cy="450215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 panose="020B0604020202020204"/>
              <a:ea typeface="宋体" panose="02010600030101010101" pitchFamily="7" charset="-122"/>
            </a:rPr>
            <a:t>含 AI 生成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showGridLines="0" tabSelected="1" zoomScaleNormal="100" workbookViewId="0">
      <pane ySplit="6" topLeftCell="A7" activePane="bottomLeft" state="frozen"/>
      <selection pane="bottomLeft" activeCell="L13" sqref="L13"/>
    </sheetView>
  </sheetViews>
  <sheetFormatPr defaultColWidth="7.75" defaultRowHeight="13.5"/>
  <cols>
    <col min="1" max="1" width="4.5" customWidth="1"/>
    <col min="2" max="2" width="16.5" customWidth="1"/>
    <col min="3" max="3" width="35.875" customWidth="1"/>
    <col min="4" max="4" width="4.5" customWidth="1"/>
    <col min="5" max="5" width="5.5" customWidth="1"/>
    <col min="6" max="6" width="8.625" customWidth="1"/>
    <col min="7" max="7" width="12.25" customWidth="1"/>
    <col min="8" max="8" width="30.25" customWidth="1"/>
    <col min="9" max="9" width="15.125" customWidth="1"/>
    <col min="10" max="10" width="15.5" customWidth="1"/>
  </cols>
  <sheetData>
    <row r="1" spans="1:10" ht="30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5" customHeight="1">
      <c r="A2" s="31" t="s">
        <v>109</v>
      </c>
      <c r="B2" s="31"/>
      <c r="C2" s="31"/>
      <c r="D2" s="31"/>
      <c r="E2" s="32" t="s">
        <v>1</v>
      </c>
      <c r="F2" s="32"/>
      <c r="G2" s="32"/>
      <c r="H2" s="32"/>
      <c r="I2" s="32"/>
      <c r="J2" s="32"/>
    </row>
    <row r="3" spans="1:10" ht="19.5" customHeight="1">
      <c r="A3" s="33" t="s">
        <v>2</v>
      </c>
      <c r="B3" s="33"/>
      <c r="C3" s="33"/>
      <c r="D3" s="33"/>
      <c r="E3" s="34" t="s">
        <v>3</v>
      </c>
      <c r="F3" s="34"/>
      <c r="G3" s="34"/>
      <c r="H3" s="34"/>
      <c r="I3" s="34"/>
      <c r="J3" s="34"/>
    </row>
    <row r="4" spans="1:10" ht="25.5" customHeight="1">
      <c r="A4" s="33" t="s">
        <v>4</v>
      </c>
      <c r="B4" s="33"/>
      <c r="C4" s="33"/>
      <c r="D4" s="33"/>
      <c r="E4" s="34" t="s">
        <v>5</v>
      </c>
      <c r="F4" s="34"/>
      <c r="G4" s="34"/>
      <c r="H4" s="34"/>
      <c r="I4" s="34"/>
      <c r="J4" s="34"/>
    </row>
    <row r="5" spans="1:10" ht="19.5" customHeight="1">
      <c r="A5" s="33" t="s">
        <v>6</v>
      </c>
      <c r="B5" s="33"/>
      <c r="C5" s="33"/>
      <c r="D5" s="33"/>
      <c r="E5" s="34" t="s">
        <v>7</v>
      </c>
      <c r="F5" s="34"/>
      <c r="G5" s="34"/>
      <c r="H5" s="34"/>
      <c r="I5" s="34"/>
      <c r="J5" s="34"/>
    </row>
    <row r="6" spans="1:10" ht="33.75" customHeight="1">
      <c r="A6" s="11" t="s">
        <v>8</v>
      </c>
      <c r="B6" s="12" t="s">
        <v>9</v>
      </c>
      <c r="C6" s="12" t="s">
        <v>10</v>
      </c>
      <c r="D6" s="12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2" t="s">
        <v>16</v>
      </c>
      <c r="J6" s="13" t="s">
        <v>17</v>
      </c>
    </row>
    <row r="7" spans="1:10" ht="18" customHeight="1">
      <c r="A7" s="35" t="s">
        <v>18</v>
      </c>
      <c r="B7" s="35"/>
      <c r="C7" s="35"/>
      <c r="D7" s="35"/>
      <c r="E7" s="35"/>
      <c r="F7" s="35"/>
      <c r="G7" s="35"/>
      <c r="H7" s="35"/>
      <c r="I7" s="35"/>
      <c r="J7" s="35"/>
    </row>
    <row r="8" spans="1:10" ht="60" customHeight="1">
      <c r="A8" s="14">
        <v>1</v>
      </c>
      <c r="B8" s="15" t="s">
        <v>19</v>
      </c>
      <c r="C8" s="15" t="s">
        <v>20</v>
      </c>
      <c r="D8" s="16" t="s">
        <v>21</v>
      </c>
      <c r="E8" s="17">
        <v>1</v>
      </c>
      <c r="F8" s="18">
        <v>0.2</v>
      </c>
      <c r="G8" s="19"/>
      <c r="H8" s="19"/>
      <c r="I8" s="20"/>
      <c r="J8" s="21" t="s">
        <v>22</v>
      </c>
    </row>
    <row r="9" spans="1:10" ht="45.75" customHeight="1">
      <c r="A9" s="14">
        <v>2</v>
      </c>
      <c r="B9" s="15" t="s">
        <v>23</v>
      </c>
      <c r="C9" s="15" t="s">
        <v>24</v>
      </c>
      <c r="D9" s="16" t="s">
        <v>21</v>
      </c>
      <c r="E9" s="17">
        <v>1</v>
      </c>
      <c r="F9" s="18">
        <v>0.5</v>
      </c>
      <c r="G9" s="19"/>
      <c r="H9" s="19"/>
      <c r="I9" s="20"/>
      <c r="J9" s="21" t="s">
        <v>22</v>
      </c>
    </row>
    <row r="10" spans="1:10" ht="55.5" customHeight="1">
      <c r="A10" s="14">
        <v>3</v>
      </c>
      <c r="B10" s="16" t="s">
        <v>25</v>
      </c>
      <c r="C10" s="15" t="s">
        <v>26</v>
      </c>
      <c r="D10" s="16" t="s">
        <v>27</v>
      </c>
      <c r="E10" s="17">
        <v>1</v>
      </c>
      <c r="F10" s="18">
        <v>0.3</v>
      </c>
      <c r="G10" s="19"/>
      <c r="H10" s="19"/>
      <c r="I10" s="20"/>
      <c r="J10" s="21" t="s">
        <v>107</v>
      </c>
    </row>
    <row r="11" spans="1:10" ht="19.5" customHeight="1">
      <c r="A11" s="36" t="s">
        <v>28</v>
      </c>
      <c r="B11" s="36"/>
      <c r="C11" s="36"/>
      <c r="D11" s="36"/>
      <c r="E11" s="36"/>
      <c r="F11" s="22" t="s">
        <v>29</v>
      </c>
      <c r="G11" s="23">
        <f>SUM(G8:G10)</f>
        <v>0</v>
      </c>
      <c r="H11" s="23">
        <f>SUM(H8:H10)</f>
        <v>0</v>
      </c>
      <c r="I11" s="23">
        <f>SUM(I8:I10)</f>
        <v>0</v>
      </c>
      <c r="J11" s="24"/>
    </row>
    <row r="12" spans="1:10" ht="18" customHeight="1">
      <c r="A12" s="37" t="s">
        <v>30</v>
      </c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61.5" customHeight="1">
      <c r="A13" s="14">
        <v>4</v>
      </c>
      <c r="B13" s="16" t="s">
        <v>31</v>
      </c>
      <c r="C13" s="15" t="s">
        <v>32</v>
      </c>
      <c r="D13" s="16" t="s">
        <v>33</v>
      </c>
      <c r="E13" s="17">
        <v>1</v>
      </c>
      <c r="F13" s="18">
        <v>1</v>
      </c>
      <c r="G13" s="19"/>
      <c r="H13" s="19"/>
      <c r="I13" s="20"/>
      <c r="J13" s="25" t="s">
        <v>108</v>
      </c>
    </row>
    <row r="14" spans="1:10" ht="45.75" customHeight="1">
      <c r="A14" s="14">
        <v>5</v>
      </c>
      <c r="B14" s="15" t="s">
        <v>34</v>
      </c>
      <c r="C14" s="15" t="s">
        <v>35</v>
      </c>
      <c r="D14" s="16" t="s">
        <v>33</v>
      </c>
      <c r="E14" s="17">
        <v>1</v>
      </c>
      <c r="F14" s="18">
        <v>0.5</v>
      </c>
      <c r="G14" s="19"/>
      <c r="H14" s="19"/>
      <c r="I14" s="20"/>
      <c r="J14" s="21" t="s">
        <v>22</v>
      </c>
    </row>
    <row r="15" spans="1:10" ht="45.75" customHeight="1">
      <c r="A15" s="14">
        <v>6</v>
      </c>
      <c r="B15" s="15" t="s">
        <v>36</v>
      </c>
      <c r="C15" s="15" t="s">
        <v>37</v>
      </c>
      <c r="D15" s="16" t="s">
        <v>33</v>
      </c>
      <c r="E15" s="17">
        <v>1</v>
      </c>
      <c r="F15" s="26"/>
      <c r="G15" s="19"/>
      <c r="H15" s="19"/>
      <c r="I15" s="20"/>
      <c r="J15" s="25" t="s">
        <v>38</v>
      </c>
    </row>
    <row r="16" spans="1:10" ht="19.5" customHeight="1">
      <c r="A16" s="36" t="s">
        <v>39</v>
      </c>
      <c r="B16" s="36"/>
      <c r="C16" s="36"/>
      <c r="D16" s="36"/>
      <c r="E16" s="36"/>
      <c r="F16" s="22" t="s">
        <v>29</v>
      </c>
      <c r="G16" s="23">
        <f>SUM(G13:G15)</f>
        <v>0</v>
      </c>
      <c r="H16" s="23">
        <f>SUM(H13:H15)</f>
        <v>0</v>
      </c>
      <c r="I16" s="23">
        <f>SUM(I13:I15)</f>
        <v>0</v>
      </c>
      <c r="J16" s="24"/>
    </row>
    <row r="17" spans="1:10" ht="30" customHeight="1">
      <c r="A17" s="38" t="s">
        <v>40</v>
      </c>
      <c r="B17" s="38"/>
      <c r="C17" s="15" t="s">
        <v>41</v>
      </c>
      <c r="D17" s="16" t="s">
        <v>29</v>
      </c>
      <c r="E17" s="17" t="s">
        <v>29</v>
      </c>
      <c r="F17" s="27" t="s">
        <v>29</v>
      </c>
      <c r="G17" s="19"/>
      <c r="H17" s="19"/>
      <c r="I17" s="20"/>
      <c r="J17" s="28" t="s">
        <v>42</v>
      </c>
    </row>
    <row r="18" spans="1:10" ht="21.75" customHeight="1">
      <c r="A18" s="39" t="s">
        <v>43</v>
      </c>
      <c r="B18" s="39"/>
      <c r="C18" s="39"/>
      <c r="D18" s="39"/>
      <c r="E18" s="39"/>
      <c r="F18" s="22" t="s">
        <v>29</v>
      </c>
      <c r="G18" s="23">
        <f>G11+G16+G17</f>
        <v>0</v>
      </c>
      <c r="H18" s="23">
        <f>H11+H16+H17</f>
        <v>0</v>
      </c>
      <c r="I18" s="23">
        <f>SUM(I11,I16,I17)</f>
        <v>0</v>
      </c>
      <c r="J18" s="24"/>
    </row>
    <row r="19" spans="1:10" ht="24" customHeight="1">
      <c r="A19" s="40" t="s">
        <v>44</v>
      </c>
      <c r="B19" s="40"/>
      <c r="C19" s="40"/>
      <c r="D19" s="40"/>
      <c r="E19" s="41" t="s">
        <v>45</v>
      </c>
      <c r="F19" s="41"/>
      <c r="G19" s="40" t="str">
        <f>"（小写：¥"&amp;TEXT(H18,"#,##0.00")&amp;"）"</f>
        <v>（小写：¥0.00）</v>
      </c>
      <c r="H19" s="40"/>
      <c r="I19" s="40"/>
      <c r="J19" s="40"/>
    </row>
    <row r="20" spans="1:10" ht="6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spans="1:10" ht="18" customHeight="1">
      <c r="A21" s="42" t="s">
        <v>46</v>
      </c>
      <c r="B21" s="42"/>
      <c r="C21" s="42"/>
      <c r="D21" s="42"/>
      <c r="E21" s="42"/>
      <c r="F21" s="42"/>
      <c r="G21" s="42"/>
      <c r="H21" s="42"/>
      <c r="I21" s="42"/>
      <c r="J21" s="42"/>
    </row>
    <row r="22" spans="1:10" ht="27.75" customHeight="1">
      <c r="A22" s="43" t="s">
        <v>106</v>
      </c>
      <c r="B22" s="43"/>
      <c r="C22" s="43"/>
      <c r="D22" s="43"/>
      <c r="E22" s="43"/>
      <c r="F22" s="43"/>
      <c r="G22" s="43"/>
      <c r="H22" s="43"/>
      <c r="I22" s="43"/>
      <c r="J22" s="43"/>
    </row>
    <row r="23" spans="1:10" ht="27.75" customHeight="1">
      <c r="A23" s="43" t="s">
        <v>47</v>
      </c>
      <c r="B23" s="43"/>
      <c r="C23" s="43"/>
      <c r="D23" s="43"/>
      <c r="E23" s="43"/>
      <c r="F23" s="43"/>
      <c r="G23" s="43"/>
      <c r="H23" s="43"/>
      <c r="I23" s="43"/>
      <c r="J23" s="43"/>
    </row>
    <row r="24" spans="1:10" ht="27.75" customHeight="1">
      <c r="A24" s="43" t="s">
        <v>48</v>
      </c>
      <c r="B24" s="43"/>
      <c r="C24" s="43"/>
      <c r="D24" s="43"/>
      <c r="E24" s="43"/>
      <c r="F24" s="43"/>
      <c r="G24" s="43"/>
      <c r="H24" s="43"/>
      <c r="I24" s="43"/>
      <c r="J24" s="43"/>
    </row>
    <row r="25" spans="1:10" ht="27.75" customHeight="1">
      <c r="A25" s="43" t="s">
        <v>49</v>
      </c>
      <c r="B25" s="43"/>
      <c r="C25" s="43"/>
      <c r="D25" s="43"/>
      <c r="E25" s="43"/>
      <c r="F25" s="43"/>
      <c r="G25" s="43"/>
      <c r="H25" s="43"/>
      <c r="I25" s="43"/>
      <c r="J25" s="43"/>
    </row>
    <row r="26" spans="1:10" ht="6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 ht="19.5" customHeight="1">
      <c r="A27" s="44" t="s">
        <v>50</v>
      </c>
      <c r="B27" s="44"/>
      <c r="C27" s="44"/>
      <c r="D27" s="44"/>
      <c r="E27" s="44"/>
      <c r="F27" s="44" t="s">
        <v>51</v>
      </c>
      <c r="G27" s="44"/>
      <c r="H27" s="44"/>
      <c r="I27" s="44"/>
      <c r="J27" s="44"/>
    </row>
    <row r="28" spans="1:10" ht="24" customHeight="1">
      <c r="A28" s="45" t="s">
        <v>52</v>
      </c>
      <c r="B28" s="45"/>
      <c r="C28" s="45"/>
      <c r="D28" s="45"/>
      <c r="E28" s="45"/>
      <c r="F28" s="45" t="s">
        <v>53</v>
      </c>
      <c r="G28" s="45"/>
      <c r="H28" s="45"/>
      <c r="I28" s="45"/>
      <c r="J28" s="45"/>
    </row>
    <row r="29" spans="1:10" ht="19.5" customHeight="1">
      <c r="A29" s="45" t="s">
        <v>54</v>
      </c>
      <c r="B29" s="45"/>
      <c r="C29" s="45"/>
      <c r="D29" s="45"/>
      <c r="E29" s="45"/>
      <c r="F29" s="45" t="s">
        <v>54</v>
      </c>
      <c r="G29" s="45"/>
      <c r="H29" s="45"/>
      <c r="I29" s="45"/>
      <c r="J29" s="45"/>
    </row>
    <row r="30" spans="1:10" ht="45.75" customHeight="1">
      <c r="A30" s="46" t="s">
        <v>55</v>
      </c>
      <c r="B30" s="46"/>
      <c r="C30" s="46"/>
      <c r="D30" s="46"/>
      <c r="E30" s="46"/>
      <c r="F30" s="46" t="s">
        <v>55</v>
      </c>
      <c r="G30" s="46"/>
      <c r="H30" s="46"/>
      <c r="I30" s="46"/>
      <c r="J30" s="46"/>
    </row>
  </sheetData>
  <mergeCells count="31">
    <mergeCell ref="A28:E28"/>
    <mergeCell ref="F28:J28"/>
    <mergeCell ref="A29:E29"/>
    <mergeCell ref="F29:J29"/>
    <mergeCell ref="A30:E30"/>
    <mergeCell ref="F30:J30"/>
    <mergeCell ref="A23:J23"/>
    <mergeCell ref="A24:J24"/>
    <mergeCell ref="A25:J25"/>
    <mergeCell ref="A27:E27"/>
    <mergeCell ref="F27:J27"/>
    <mergeCell ref="A19:D19"/>
    <mergeCell ref="E19:F19"/>
    <mergeCell ref="G19:J19"/>
    <mergeCell ref="A21:J21"/>
    <mergeCell ref="A22:J22"/>
    <mergeCell ref="A11:E11"/>
    <mergeCell ref="A12:J12"/>
    <mergeCell ref="A16:E16"/>
    <mergeCell ref="A17:B17"/>
    <mergeCell ref="A18:E18"/>
    <mergeCell ref="A4:D4"/>
    <mergeCell ref="E4:J4"/>
    <mergeCell ref="A5:D5"/>
    <mergeCell ref="E5:J5"/>
    <mergeCell ref="A7:J7"/>
    <mergeCell ref="A1:J1"/>
    <mergeCell ref="A2:D2"/>
    <mergeCell ref="E2:J2"/>
    <mergeCell ref="A3:D3"/>
    <mergeCell ref="E3:J3"/>
  </mergeCells>
  <phoneticPr fontId="16" type="noConversion"/>
  <dataValidations count="1">
    <dataValidation type="decimal" allowBlank="1" errorTitle="完工进度输入有误" error="请输入百分比数值（如30%或0.3）" sqref="F8:F10 F13:F15" xr:uid="{00000000-0002-0000-0000-000000000000}">
      <formula1>0</formula1>
      <formula2>1</formula2>
    </dataValidation>
  </dataValidations>
  <printOptions horizontalCentered="1"/>
  <pageMargins left="0.3" right="0.3" top="0.35" bottom="0.35" header="0.511811023622047" footer="0.511811023622047"/>
  <pageSetup paperSize="9" scale="6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6"/>
  <sheetViews>
    <sheetView showGridLines="0" workbookViewId="0">
      <selection sqref="A1:F1"/>
    </sheetView>
  </sheetViews>
  <sheetFormatPr defaultColWidth="7.75" defaultRowHeight="13.5"/>
  <cols>
    <col min="1" max="1" width="16.375" customWidth="1"/>
    <col min="2" max="2" width="6.375" customWidth="1"/>
    <col min="3" max="3" width="12.75" customWidth="1"/>
    <col min="4" max="5" width="30.875" customWidth="1"/>
    <col min="6" max="6" width="23.625" customWidth="1"/>
  </cols>
  <sheetData>
    <row r="1" spans="1:6" ht="25.5" customHeight="1">
      <c r="A1" s="47" t="s">
        <v>56</v>
      </c>
      <c r="B1" s="47"/>
      <c r="C1" s="47"/>
      <c r="D1" s="47"/>
      <c r="E1" s="47"/>
      <c r="F1" s="47"/>
    </row>
    <row r="2" spans="1:6" ht="19.5" customHeight="1">
      <c r="A2" s="48" t="s">
        <v>57</v>
      </c>
      <c r="B2" s="48"/>
      <c r="C2" s="48"/>
      <c r="D2" s="48"/>
      <c r="E2" s="48"/>
      <c r="F2" s="48"/>
    </row>
    <row r="3" spans="1:6" ht="19.5" customHeight="1">
      <c r="A3" s="49" t="s">
        <v>58</v>
      </c>
      <c r="B3" s="49"/>
      <c r="C3" s="49"/>
      <c r="D3" s="49"/>
      <c r="E3" s="49"/>
      <c r="F3" s="49"/>
    </row>
    <row r="4" spans="1:6" ht="19.5" customHeight="1">
      <c r="A4" s="49" t="s">
        <v>59</v>
      </c>
      <c r="B4" s="49"/>
      <c r="C4" s="49"/>
      <c r="D4" s="49"/>
      <c r="E4" s="49"/>
      <c r="F4" s="49"/>
    </row>
    <row r="5" spans="1:6" ht="19.5" customHeight="1">
      <c r="A5" s="49" t="s">
        <v>60</v>
      </c>
      <c r="B5" s="49"/>
      <c r="C5" s="49"/>
      <c r="D5" s="49"/>
      <c r="E5" s="49"/>
      <c r="F5" s="49"/>
    </row>
    <row r="6" spans="1:6" ht="19.5" customHeight="1">
      <c r="A6" s="48" t="s">
        <v>61</v>
      </c>
      <c r="B6" s="48"/>
      <c r="C6" s="48"/>
      <c r="D6" s="48"/>
      <c r="E6" s="48"/>
      <c r="F6" s="48"/>
    </row>
    <row r="7" spans="1:6" ht="19.5" customHeight="1">
      <c r="A7" s="49" t="s">
        <v>62</v>
      </c>
      <c r="B7" s="49"/>
      <c r="C7" s="49"/>
      <c r="D7" s="49"/>
      <c r="E7" s="49"/>
      <c r="F7" s="49"/>
    </row>
    <row r="8" spans="1:6" ht="19.5" customHeight="1">
      <c r="A8" s="49" t="s">
        <v>63</v>
      </c>
      <c r="B8" s="49"/>
      <c r="C8" s="49"/>
      <c r="D8" s="49"/>
      <c r="E8" s="49"/>
      <c r="F8" s="49"/>
    </row>
    <row r="9" spans="1:6" ht="19.5" customHeight="1">
      <c r="A9" s="49" t="s">
        <v>64</v>
      </c>
      <c r="B9" s="49"/>
      <c r="C9" s="49"/>
      <c r="D9" s="49"/>
      <c r="E9" s="49"/>
      <c r="F9" s="49"/>
    </row>
    <row r="10" spans="1:6" ht="19.5" customHeight="1">
      <c r="A10" s="49" t="s">
        <v>65</v>
      </c>
      <c r="B10" s="49"/>
      <c r="C10" s="49"/>
      <c r="D10" s="49"/>
      <c r="E10" s="49"/>
      <c r="F10" s="49"/>
    </row>
    <row r="11" spans="1:6" ht="19.5" customHeight="1">
      <c r="A11" s="49" t="s">
        <v>66</v>
      </c>
      <c r="B11" s="49"/>
      <c r="C11" s="49"/>
      <c r="D11" s="49"/>
      <c r="E11" s="49"/>
      <c r="F11" s="49"/>
    </row>
    <row r="12" spans="1:6" ht="19.5" customHeight="1">
      <c r="A12" s="49" t="s">
        <v>67</v>
      </c>
      <c r="B12" s="49"/>
      <c r="C12" s="49"/>
      <c r="D12" s="49"/>
      <c r="E12" s="49"/>
      <c r="F12" s="49"/>
    </row>
    <row r="13" spans="1:6" ht="19.5" customHeight="1">
      <c r="A13" s="48" t="s">
        <v>68</v>
      </c>
      <c r="B13" s="48"/>
      <c r="C13" s="48"/>
      <c r="D13" s="48"/>
      <c r="E13" s="48"/>
      <c r="F13" s="48"/>
    </row>
    <row r="14" spans="1:6" ht="25.5" customHeight="1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</row>
    <row r="15" spans="1:6" ht="36" customHeight="1">
      <c r="A15" s="2" t="s">
        <v>75</v>
      </c>
      <c r="B15" s="2" t="s">
        <v>76</v>
      </c>
      <c r="C15" s="3">
        <v>3000000</v>
      </c>
      <c r="D15" s="4" t="s">
        <v>77</v>
      </c>
      <c r="E15" s="4" t="s">
        <v>78</v>
      </c>
      <c r="F15" s="4" t="s">
        <v>79</v>
      </c>
    </row>
    <row r="16" spans="1:6" ht="36" customHeight="1">
      <c r="A16" s="5" t="s">
        <v>80</v>
      </c>
      <c r="B16" s="5" t="s">
        <v>76</v>
      </c>
      <c r="C16" s="6">
        <v>3000000</v>
      </c>
      <c r="D16" s="7" t="s">
        <v>81</v>
      </c>
      <c r="E16" s="7" t="s">
        <v>82</v>
      </c>
      <c r="F16" s="7" t="s">
        <v>79</v>
      </c>
    </row>
    <row r="17" spans="1:6" ht="49.5" customHeight="1">
      <c r="A17" s="8" t="s">
        <v>83</v>
      </c>
      <c r="B17" s="8" t="s">
        <v>84</v>
      </c>
      <c r="C17" s="9">
        <v>3750000</v>
      </c>
      <c r="D17" s="10" t="s">
        <v>85</v>
      </c>
      <c r="E17" s="10" t="s">
        <v>86</v>
      </c>
      <c r="F17" s="10" t="s">
        <v>87</v>
      </c>
    </row>
    <row r="18" spans="1:6" ht="36" customHeight="1">
      <c r="A18" s="5" t="s">
        <v>88</v>
      </c>
      <c r="B18" s="5" t="s">
        <v>76</v>
      </c>
      <c r="C18" s="6">
        <v>3000000</v>
      </c>
      <c r="D18" s="7" t="s">
        <v>89</v>
      </c>
      <c r="E18" s="7" t="s">
        <v>90</v>
      </c>
      <c r="F18" s="7" t="s">
        <v>91</v>
      </c>
    </row>
    <row r="19" spans="1:6" ht="36" customHeight="1">
      <c r="A19" s="2" t="s">
        <v>92</v>
      </c>
      <c r="B19" s="2" t="s">
        <v>93</v>
      </c>
      <c r="C19" s="3">
        <v>1500000</v>
      </c>
      <c r="D19" s="4" t="s">
        <v>94</v>
      </c>
      <c r="E19" s="4" t="s">
        <v>95</v>
      </c>
      <c r="F19" s="4" t="s">
        <v>91</v>
      </c>
    </row>
    <row r="20" spans="1:6" ht="36" customHeight="1">
      <c r="A20" s="5" t="s">
        <v>96</v>
      </c>
      <c r="B20" s="5" t="s">
        <v>97</v>
      </c>
      <c r="C20" s="6">
        <v>750000</v>
      </c>
      <c r="D20" s="7" t="s">
        <v>98</v>
      </c>
      <c r="E20" s="7" t="s">
        <v>99</v>
      </c>
      <c r="F20" s="7" t="s">
        <v>91</v>
      </c>
    </row>
    <row r="21" spans="1:6" ht="19.5" customHeight="1">
      <c r="A21" s="48" t="s">
        <v>100</v>
      </c>
      <c r="B21" s="48"/>
      <c r="C21" s="48"/>
      <c r="D21" s="48"/>
      <c r="E21" s="48"/>
      <c r="F21" s="48"/>
    </row>
    <row r="22" spans="1:6" ht="19.5" customHeight="1">
      <c r="A22" s="49" t="s">
        <v>101</v>
      </c>
      <c r="B22" s="49"/>
      <c r="C22" s="49"/>
      <c r="D22" s="49"/>
      <c r="E22" s="49"/>
      <c r="F22" s="49"/>
    </row>
    <row r="23" spans="1:6" ht="19.5" customHeight="1">
      <c r="A23" s="49" t="s">
        <v>102</v>
      </c>
      <c r="B23" s="49"/>
      <c r="C23" s="49"/>
      <c r="D23" s="49"/>
      <c r="E23" s="49"/>
      <c r="F23" s="49"/>
    </row>
    <row r="24" spans="1:6" ht="19.5" customHeight="1">
      <c r="A24" s="49" t="s">
        <v>103</v>
      </c>
      <c r="B24" s="49"/>
      <c r="C24" s="49"/>
      <c r="D24" s="49"/>
      <c r="E24" s="49"/>
      <c r="F24" s="49"/>
    </row>
    <row r="25" spans="1:6" ht="19.5" customHeight="1">
      <c r="A25" s="49" t="s">
        <v>104</v>
      </c>
      <c r="B25" s="49"/>
      <c r="C25" s="49"/>
      <c r="D25" s="49"/>
      <c r="E25" s="49"/>
      <c r="F25" s="49"/>
    </row>
    <row r="26" spans="1:6" ht="19.5" customHeight="1">
      <c r="A26" s="49" t="s">
        <v>105</v>
      </c>
      <c r="B26" s="49"/>
      <c r="C26" s="49"/>
      <c r="D26" s="49"/>
      <c r="E26" s="49"/>
      <c r="F26" s="49"/>
    </row>
  </sheetData>
  <mergeCells count="19">
    <mergeCell ref="A23:F23"/>
    <mergeCell ref="A24:F24"/>
    <mergeCell ref="A25:F25"/>
    <mergeCell ref="A26:F26"/>
    <mergeCell ref="A11:F11"/>
    <mergeCell ref="A12:F12"/>
    <mergeCell ref="A13:F13"/>
    <mergeCell ref="A21:F21"/>
    <mergeCell ref="A22:F22"/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</mergeCells>
  <phoneticPr fontId="16" type="noConversion"/>
  <pageMargins left="0.4" right="0.4" top="0.5" bottom="0.5" header="0.511811023622047" footer="0.511811023622047"/>
  <pageSetup paperSize="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结算单</vt:lpstr>
      <vt:lpstr>填表说明</vt:lpstr>
      <vt:lpstr>结算单!Print_Area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项目履约交付结算单</dc:title>
  <dc:subject>德清威德L4级智能化水厂技改项目</dc:subject>
  <dc:creator>openpyxl</dc:creator>
  <cp:lastModifiedBy>Administrator</cp:lastModifiedBy>
  <cp:revision>0</cp:revision>
  <dcterms:created xsi:type="dcterms:W3CDTF">2026-09-02T02:03:00Z</dcterms:created>
  <dcterms:modified xsi:type="dcterms:W3CDTF">2026-09-02T10:15:11Z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A1CB5C0833B14827BB4CF80FC1CC12E3_13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