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<sst xmlns="http://schemas.openxmlformats.org/spreadsheetml/2006/main" count="64" uniqueCount="54">
  <si>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必填数据</t>
  </si>
  <si>
    <t>过程参数</t>
  </si>
  <si>
    <t>项目</t>
  </si>
  <si>
    <t>数值</t>
  </si>
  <si>
    <t>单位</t>
  </si>
  <si>
    <t>参数</t>
  </si>
  <si>
    <t>符号</t>
  </si>
  <si>
    <t>取值</t>
  </si>
  <si>
    <t>污水厂名称</t>
  </si>
  <si>
    <t>XX污水处理厂</t>
  </si>
  <si>
    <t>-</t>
  </si>
  <si>
    <t>碳氧当量</t>
  </si>
  <si>
    <t>a</t>
  </si>
  <si>
    <t>工艺类型</t>
  </si>
  <si>
    <t>AAO</t>
  </si>
  <si>
    <t>硝化常数</t>
  </si>
  <si>
    <t>b</t>
  </si>
  <si>
    <t>设计规模</t>
  </si>
  <si>
    <t>m³/d</t>
  </si>
  <si>
    <t>细胞氧当量</t>
  </si>
  <si>
    <t>c</t>
  </si>
  <si>
    <t>实际日均水量 Q</t>
  </si>
  <si>
    <t>α</t>
  </si>
  <si>
    <t>运行水温 T</t>
  </si>
  <si>
    <t>℃</t>
  </si>
  <si>
    <t>β</t>
  </si>
  <si>
    <t>厂区海拔 H</t>
  </si>
  <si>
    <t>m</t>
  </si>
  <si>
    <t>污垢系数</t>
  </si>
  <si>
    <t>F</t>
  </si>
  <si>
    <t>曝气器最大深度 h</t>
  </si>
  <si>
    <t>20℃饱和 DO</t>
  </si>
  <si>
    <t>Cs</t>
  </si>
  <si>
    <t>氧利用率 EA</t>
  </si>
  <si>
    <t>%</t>
  </si>
  <si>
    <t>剩余溶解氧 Co</t>
  </si>
  <si>
    <t>mg/L</t>
  </si>
  <si>
    <t>进水BOD5</t>
  </si>
  <si>
    <t>出水BOD5</t>
  </si>
  <si>
    <t>进水总氮</t>
  </si>
  <si>
    <t>出水总氮</t>
  </si>
  <si>
    <t>进水氨氮</t>
  </si>
  <si>
    <t>出水氨氮</t>
  </si>
  <si>
    <t>每日排挥发性污泥 ΔXv</t>
  </si>
  <si>
    <t>kg/d</t>
  </si>
  <si>
    <t>计算结果</t>
  </si>
  <si>
    <t>理论需氧量</t>
  </si>
  <si>
    <t>标准需氧量 Os（kg/d）</t>
  </si>
  <si>
    <t>理论供气量 Gs 理论（m³/d）</t>
  </si>
  <si>
    <t>实际供气量 Gs 实际（m³/d）</t>
  </si>
  <si>
    <t>供氧量差值：Gs实际 - Gs理论</t>
  </si>
  <si>
    <t>偏差率：(差值/Gs理论)*100%</t>
  </si>
  <si>
    <t>节能比例：可节风量/Gs实际*100%</t>
  </si>
  <si>
    <t>黄色部分为手动输入数据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</si>
</sst>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%"/>
  </numFmts>
  <fonts count="22">
    <font>
      <sz val="11"/>
      <color theme="1"/>
      <name val="宋体"/>
      <charset val="134"/>
      <scheme val="minor"/>
    </font>
    <font>
      <sz val="12"/>
      <color rgb="FF000000"/>
      <name val="Arial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workbookViewId="0">
      <selection activeCell="F15" sqref="F15"/>
    </sheetView>
  </sheetViews>
  <sheetFormatPr defaultColWidth="8.88888888888889" defaultRowHeight="14.4" outlineLevelCol="6"/>
  <cols>
    <col min="1" max="1" width="29.8888888888889" customWidth="1"/>
    <col min="2" max="2" width="13.5555555555556" customWidth="1"/>
    <col min="3" max="3" width="15.3333333333333" customWidth="1"/>
    <col min="5" max="5" width="15.3333333333333" customWidth="1"/>
  </cols>
  <sheetData>
    <row r="1" ht="15.15" spans="1:7">
      <c r="A1" s="2" t="s">
        <v>0</v>
      </c>
      <c r="B1" s="2"/>
      <c r="C1" s="2"/>
      <c r="E1" s="2" t="s">
        <v>1</v>
      </c>
      <c r="F1" s="2"/>
      <c r="G1" s="2"/>
    </row>
    <row r="2" ht="15.15" spans="1:7">
      <c r="A2" s="3" t="s">
        <v>2</v>
      </c>
      <c r="B2" s="3" t="s">
        <v>3</v>
      </c>
      <c r="C2" s="3" t="s">
        <v>4</v>
      </c>
      <c r="E2" s="4" t="s">
        <v>5</v>
      </c>
      <c r="F2" s="4" t="s">
        <v>6</v>
      </c>
      <c r="G2" s="4" t="s">
        <v>7</v>
      </c>
    </row>
    <row r="3" spans="1:7">
      <c r="A3" s="5" t="s">
        <v>8</v>
      </c>
      <c r="B3" s="6" t="s">
        <v>9</v>
      </c>
      <c r="C3" s="5" t="s">
        <v>10</v>
      </c>
      <c r="E3" s="7" t="s">
        <v>11</v>
      </c>
      <c r="F3" s="7" t="s">
        <v>12</v>
      </c>
      <c r="G3" s="7">
        <v>1.47</v>
      </c>
    </row>
    <row r="4" spans="1:7">
      <c r="A4" s="5" t="s">
        <v>13</v>
      </c>
      <c r="B4" s="6" t="s">
        <v>14</v>
      </c>
      <c r="C4" s="5" t="s">
        <v>10</v>
      </c>
      <c r="E4" s="7" t="s">
        <v>15</v>
      </c>
      <c r="F4" s="7" t="s">
        <v>16</v>
      </c>
      <c r="G4" s="7">
        <v>4.57</v>
      </c>
    </row>
    <row r="5" spans="1:7">
      <c r="A5" s="5" t="s">
        <v>17</v>
      </c>
      <c r="B5" s="6">
        <v>38000</v>
      </c>
      <c r="C5" s="5" t="s">
        <v>18</v>
      </c>
      <c r="E5" s="7" t="s">
        <v>19</v>
      </c>
      <c r="F5" s="7" t="s">
        <v>20</v>
      </c>
      <c r="G5" s="7">
        <v>1.42</v>
      </c>
    </row>
    <row r="6" spans="1:7">
      <c r="A6" s="5" t="s">
        <v>21</v>
      </c>
      <c r="B6" s="6">
        <v>36000</v>
      </c>
      <c r="C6" s="5" t="s">
        <v>18</v>
      </c>
      <c r="E6" s="7" t="s">
        <v>22</v>
      </c>
      <c r="F6" s="7" t="s">
        <v>22</v>
      </c>
      <c r="G6" s="7">
        <v>0.82</v>
      </c>
    </row>
    <row r="7" spans="1:7">
      <c r="A7" s="5" t="s">
        <v>23</v>
      </c>
      <c r="B7" s="6">
        <v>25</v>
      </c>
      <c r="C7" s="5" t="s">
        <v>24</v>
      </c>
      <c r="E7" s="7" t="s">
        <v>25</v>
      </c>
      <c r="F7" s="7" t="s">
        <v>25</v>
      </c>
      <c r="G7" s="7">
        <v>0.94</v>
      </c>
    </row>
    <row r="8" spans="1:7">
      <c r="A8" s="5" t="s">
        <v>26</v>
      </c>
      <c r="B8" s="6">
        <v>100</v>
      </c>
      <c r="C8" s="5" t="s">
        <v>27</v>
      </c>
      <c r="E8" s="7" t="s">
        <v>28</v>
      </c>
      <c r="F8" s="7" t="s">
        <v>29</v>
      </c>
      <c r="G8" s="7">
        <v>0.9</v>
      </c>
    </row>
    <row r="9" spans="1:7">
      <c r="A9" s="5" t="s">
        <v>30</v>
      </c>
      <c r="B9" s="6">
        <v>6</v>
      </c>
      <c r="C9" s="5" t="s">
        <v>27</v>
      </c>
      <c r="E9" s="7" t="s">
        <v>31</v>
      </c>
      <c r="F9" s="7" t="s">
        <v>32</v>
      </c>
      <c r="G9" s="7">
        <v>9.17</v>
      </c>
    </row>
    <row r="10" spans="1:7">
      <c r="A10" s="5" t="s">
        <v>33</v>
      </c>
      <c r="B10" s="6">
        <v>28</v>
      </c>
      <c r="C10" s="5" t="s">
        <v>34</v>
      </c>
    </row>
    <row r="11" spans="1:7">
      <c r="A11" s="5" t="s">
        <v>35</v>
      </c>
      <c r="B11" s="6">
        <v>3</v>
      </c>
      <c r="C11" s="5" t="s">
        <v>36</v>
      </c>
    </row>
    <row r="12" spans="1:7">
      <c r="A12" s="8" t="s">
        <v>37</v>
      </c>
      <c r="B12" s="9">
        <v>80</v>
      </c>
      <c r="C12" s="5" t="s">
        <v>36</v>
      </c>
    </row>
    <row r="13" spans="1:7">
      <c r="A13" s="5" t="s">
        <v>38</v>
      </c>
      <c r="B13" s="6">
        <v>5</v>
      </c>
      <c r="C13" s="5" t="s">
        <v>36</v>
      </c>
    </row>
    <row r="14" spans="1:7">
      <c r="A14" s="5" t="s">
        <v>39</v>
      </c>
      <c r="B14" s="6">
        <v>30</v>
      </c>
      <c r="C14" s="5" t="s">
        <v>36</v>
      </c>
    </row>
    <row r="15" spans="1:7">
      <c r="A15" s="5" t="s">
        <v>40</v>
      </c>
      <c r="B15" s="6">
        <v>10</v>
      </c>
      <c r="C15" s="5" t="s">
        <v>36</v>
      </c>
    </row>
    <row r="16" spans="1:7">
      <c r="A16" s="5" t="s">
        <v>41</v>
      </c>
      <c r="B16" s="6">
        <v>20</v>
      </c>
      <c r="C16" s="5" t="s">
        <v>36</v>
      </c>
    </row>
    <row r="17" spans="1:3">
      <c r="A17" s="5" t="s">
        <v>42</v>
      </c>
      <c r="B17" s="6">
        <v>1</v>
      </c>
      <c r="C17" s="5"/>
    </row>
    <row r="18" ht="14" customHeight="1" spans="1:3">
      <c r="A18" s="5" t="s">
        <v>43</v>
      </c>
      <c r="B18" s="6">
        <v>2000</v>
      </c>
      <c r="C18" s="5" t="s">
        <v>44</v>
      </c>
    </row>
    <row r="19" spans="1:3">
      <c r="A19" s="2" t="s">
        <v>45</v>
      </c>
      <c r="B19" s="2"/>
      <c r="C19" s="2"/>
    </row>
    <row r="20" spans="1:3">
      <c r="A20" s="10" t="s">
        <v>46</v>
      </c>
      <c r="B20" s="11">
        <f>0.001*1.47*B6*(B12-B13)-1.42*B18+4.57*(0.001*B6*(B14-B15)-0.12*B18)-0.62*4.57*(0.001*B6*(B16-B17)-0.12*B18)</f>
        <v>2064.5704</v>
      </c>
      <c r="C20" s="12"/>
    </row>
    <row r="21" spans="1:3">
      <c r="A21" s="10" t="s">
        <v>47</v>
      </c>
      <c r="B21" s="13">
        <f>1.15*B20</f>
        <v>2374.25596</v>
      </c>
      <c r="C21" s="12"/>
    </row>
    <row r="22" spans="1:3">
      <c r="A22" s="10" t="s">
        <v>48</v>
      </c>
      <c r="B22" s="11">
        <f>B21/(0.28*B10%)</f>
        <v>30283.8770408163</v>
      </c>
      <c r="C22" s="12"/>
    </row>
    <row r="23" spans="1:3">
      <c r="A23" s="10" t="s">
        <v>49</v>
      </c>
      <c r="B23" s="14">
        <v>36000</v>
      </c>
      <c r="C23" s="12"/>
    </row>
    <row r="24" spans="1:3">
      <c r="A24" s="10" t="s">
        <v>50</v>
      </c>
      <c r="B24" s="11">
        <f>B23-B22</f>
        <v>5716.12295918367</v>
      </c>
      <c r="C24" s="12"/>
    </row>
    <row r="25" spans="1:3">
      <c r="A25" s="10" t="s">
        <v>51</v>
      </c>
      <c r="B25" s="15">
        <f>B24/B22</f>
        <v>0.188751359394292</v>
      </c>
      <c r="C25" s="12"/>
    </row>
    <row r="26" ht="28.8" spans="1:3">
      <c r="A26" s="10" t="s">
        <v>52</v>
      </c>
      <c r="B26" s="15">
        <f>(B23-B22)/B23</f>
        <v>0.158781193310658</v>
      </c>
      <c r="C26" s="12"/>
    </row>
    <row r="28" spans="1:3">
      <c r="A28" s="16" t="s">
        <v>53</v>
      </c>
    </row>
  </sheetData>
  <mergeCells count="3">
    <mergeCell ref="A1:C1"/>
    <mergeCell ref="E1:G1"/>
    <mergeCell ref="A19:C19"/>
  </mergeCells>
  <pageMargins left="0.75" right="0.75" top="1" bottom="1" header="0.5" footer="0.5"/>
  <headerFooter/>
  <ignoredErrors>
    <ignoredError sqref="A20:A26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>
    <row r="1" ht="15" spans="1:1">
      <c r="A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陈希</cp:lastModifiedBy>
  <dcterms:created xsi:type="dcterms:W3CDTF">2026-04-30T08:21:00Z</dcterms:created>
  <dcterms:modified xsi:type="dcterms:W3CDTF">2026-05-06T00:37:49Z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F7D3D51CAA564766A9CB12DD9A65A2E7_11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